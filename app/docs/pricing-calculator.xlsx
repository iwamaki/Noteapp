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価格戦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9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API基準コスト</t>
        </is>
      </c>
    </row>
    <row r="2">
      <c r="A2" s="2" t="inlineStr">
        <is>
          <t>モデル</t>
        </is>
      </c>
      <c r="B2" s="2" t="inlineStr">
        <is>
          <t>入力単価</t>
        </is>
      </c>
      <c r="C2" s="2" t="inlineStr">
        <is>
          <t>出力単価</t>
        </is>
      </c>
      <c r="D2" s="2" t="inlineStr">
        <is>
          <t>入力:出力</t>
        </is>
      </c>
      <c r="E2" s="2" t="inlineStr">
        <is>
          <t>混合コスト</t>
        </is>
      </c>
    </row>
    <row r="3">
      <c r="A3" t="inlineStr">
        <is>
          <t>Flash</t>
        </is>
      </c>
      <c r="B3" t="n">
        <v>0.3</v>
      </c>
      <c r="C3" t="n">
        <v>2.5</v>
      </c>
      <c r="D3" t="inlineStr">
        <is>
          <t>1:2</t>
        </is>
      </c>
      <c r="E3" s="3">
        <f>(B3*1+C3*2)/3*150</f>
        <v/>
      </c>
    </row>
    <row r="4">
      <c r="A4" t="inlineStr">
        <is>
          <t>Pro</t>
        </is>
      </c>
      <c r="B4" t="n">
        <v>1.25</v>
      </c>
      <c r="C4" t="n">
        <v>10</v>
      </c>
      <c r="D4" t="inlineStr">
        <is>
          <t>1:2</t>
        </is>
      </c>
      <c r="E4" s="3">
        <f>(B4*1+C4*2)/3*150</f>
        <v/>
      </c>
    </row>
    <row r="5">
      <c r="A5" s="4" t="inlineStr">
        <is>
          <t>Pro換算係数</t>
        </is>
      </c>
      <c r="E5" s="5">
        <f>E4/E3</f>
        <v/>
      </c>
    </row>
    <row r="7">
      <c r="A7" s="1" t="inlineStr">
        <is>
          <t>単発購入（Flash のみ）</t>
        </is>
      </c>
    </row>
    <row r="8">
      <c r="A8" s="6" t="inlineStr">
        <is>
          <t>商品</t>
        </is>
      </c>
      <c r="B8" s="6" t="inlineStr">
        <is>
          <t>価格</t>
        </is>
      </c>
      <c r="C8" s="6" t="inlineStr">
        <is>
          <t>トークン(M)</t>
        </is>
      </c>
      <c r="D8" s="6" t="inlineStr">
        <is>
          <t>APIコスト</t>
        </is>
      </c>
      <c r="E8" s="6" t="inlineStr">
        <is>
          <t>粗利</t>
        </is>
      </c>
      <c r="F8" s="6" t="inlineStr">
        <is>
          <t>利益率</t>
        </is>
      </c>
      <c r="G8" s="6" t="inlineStr">
        <is>
          <t>単価</t>
        </is>
      </c>
    </row>
    <row r="9">
      <c r="A9" s="7" t="inlineStr">
        <is>
          <t>初回</t>
        </is>
      </c>
      <c r="B9" s="8" t="n">
        <v>300</v>
      </c>
      <c r="C9" s="9" t="n">
        <v>1.1</v>
      </c>
      <c r="D9" s="8">
        <f>C9*$E$3</f>
        <v/>
      </c>
      <c r="E9" s="8">
        <f>B9-D9</f>
        <v/>
      </c>
      <c r="F9" s="10">
        <f>E9/B9</f>
        <v/>
      </c>
      <c r="G9" s="8">
        <f>B9/C9</f>
        <v/>
      </c>
    </row>
    <row r="10">
      <c r="A10" s="7" t="inlineStr">
        <is>
          <t>スモール</t>
        </is>
      </c>
      <c r="B10" s="8" t="n">
        <v>300</v>
      </c>
      <c r="C10" s="9" t="n">
        <v>1</v>
      </c>
      <c r="D10" s="8">
        <f>C10*$E$3</f>
        <v/>
      </c>
      <c r="E10" s="8">
        <f>B10-D10</f>
        <v/>
      </c>
      <c r="F10" s="10">
        <f>E10/B10</f>
        <v/>
      </c>
      <c r="G10" s="8">
        <f>B10/C10</f>
        <v/>
      </c>
    </row>
    <row r="11">
      <c r="A11" s="7" t="inlineStr">
        <is>
          <t>レギュラー</t>
        </is>
      </c>
      <c r="B11" s="8" t="n">
        <v>500</v>
      </c>
      <c r="C11" s="9" t="n">
        <v>1.7</v>
      </c>
      <c r="D11" s="8">
        <f>C11*$E$3</f>
        <v/>
      </c>
      <c r="E11" s="8">
        <f>B11-D11</f>
        <v/>
      </c>
      <c r="F11" s="10">
        <f>E11/B11</f>
        <v/>
      </c>
      <c r="G11" s="8">
        <f>B11/C11</f>
        <v/>
      </c>
    </row>
    <row r="12">
      <c r="A12" s="7" t="inlineStr">
        <is>
          <t>ラージ</t>
        </is>
      </c>
      <c r="B12" s="8" t="n">
        <v>1000</v>
      </c>
      <c r="C12" s="9" t="n">
        <v>3.5</v>
      </c>
      <c r="D12" s="8">
        <f>C12*$E$3</f>
        <v/>
      </c>
      <c r="E12" s="8">
        <f>B12-D12</f>
        <v/>
      </c>
      <c r="F12" s="10">
        <f>E12/B12</f>
        <v/>
      </c>
      <c r="G12" s="8">
        <f>B12/C12</f>
        <v/>
      </c>
    </row>
    <row r="14">
      <c r="A14" s="1" t="inlineStr">
        <is>
          <t>サブスクリプション（Flash + Pro）</t>
        </is>
      </c>
    </row>
    <row r="15">
      <c r="A15" s="6" t="inlineStr">
        <is>
          <t>プラン</t>
        </is>
      </c>
      <c r="B15" s="6" t="inlineStr">
        <is>
          <t>価格</t>
        </is>
      </c>
      <c r="C15" s="6" t="inlineStr">
        <is>
          <t>Flash(M)</t>
        </is>
      </c>
      <c r="D15" s="6" t="inlineStr">
        <is>
          <t>Pro(M)</t>
        </is>
      </c>
      <c r="E15" s="6" t="inlineStr">
        <is>
          <t>APIコスト</t>
        </is>
      </c>
      <c r="F15" s="6" t="inlineStr">
        <is>
          <t>粗利</t>
        </is>
      </c>
      <c r="G15" s="6" t="inlineStr">
        <is>
          <t>利益率</t>
        </is>
      </c>
      <c r="H15" s="6" t="inlineStr">
        <is>
          <t>Flash換算単価</t>
        </is>
      </c>
    </row>
    <row r="16">
      <c r="A16" s="7" t="inlineStr">
        <is>
          <t>Standard</t>
        </is>
      </c>
      <c r="B16" s="8" t="n">
        <v>500</v>
      </c>
      <c r="C16" s="9" t="n">
        <v>1.6</v>
      </c>
      <c r="D16" s="11" t="n">
        <v>0.05</v>
      </c>
      <c r="E16" s="8">
        <f>C16*$E$3+D16*$E$4</f>
        <v/>
      </c>
      <c r="F16" s="8">
        <f>B16-E16</f>
        <v/>
      </c>
      <c r="G16" s="10">
        <f>F16/B16</f>
        <v/>
      </c>
      <c r="H16" s="8">
        <f>B16/(C16+D16*$E$5)</f>
        <v/>
      </c>
    </row>
    <row r="17">
      <c r="A17" s="7" t="inlineStr">
        <is>
          <t>Pro</t>
        </is>
      </c>
      <c r="B17" s="8" t="n">
        <v>1500</v>
      </c>
      <c r="C17" s="9" t="n">
        <v>4.8</v>
      </c>
      <c r="D17" s="11" t="n">
        <v>0.18</v>
      </c>
      <c r="E17" s="8">
        <f>C17*$E$3+D17*$E$4</f>
        <v/>
      </c>
      <c r="F17" s="8">
        <f>B17-E17</f>
        <v/>
      </c>
      <c r="G17" s="10">
        <f>F17/B17</f>
        <v/>
      </c>
      <c r="H17" s="8">
        <f>B17/(C17+D17*$E$5)</f>
        <v/>
      </c>
    </row>
    <row r="18">
      <c r="A18" s="7" t="inlineStr">
        <is>
          <t>Premium</t>
        </is>
      </c>
      <c r="B18" s="8" t="n">
        <v>3000</v>
      </c>
      <c r="C18" s="9" t="n">
        <v>11</v>
      </c>
      <c r="D18" s="11" t="n">
        <v>0.08</v>
      </c>
      <c r="E18" s="8">
        <f>C18*$E$3+D18*$E$4</f>
        <v/>
      </c>
      <c r="F18" s="8">
        <f>B18-E18</f>
        <v/>
      </c>
      <c r="G18" s="10">
        <f>F18/B18</f>
        <v/>
      </c>
      <c r="H18" s="8">
        <f>B18/(C18+D18*$E$5)</f>
        <v/>
      </c>
    </row>
    <row r="20">
      <c r="A20" s="1" t="inlineStr">
        <is>
          <t>単価比較（高→低）</t>
        </is>
      </c>
    </row>
    <row r="21">
      <c r="A21" s="2" t="inlineStr">
        <is>
          <t>商品/プラン</t>
        </is>
      </c>
      <c r="B21" s="2" t="inlineStr">
        <is>
          <t>単価</t>
        </is>
      </c>
    </row>
    <row r="22">
      <c r="A22" s="7" t="inlineStr">
        <is>
          <t>スモール (単発)</t>
        </is>
      </c>
      <c r="B22" s="8">
        <f>G10</f>
        <v/>
      </c>
    </row>
    <row r="23">
      <c r="A23" s="7" t="inlineStr">
        <is>
          <t>レギュラー (単発)</t>
        </is>
      </c>
      <c r="B23" s="8">
        <f>G11</f>
        <v/>
      </c>
    </row>
    <row r="24">
      <c r="A24" s="7" t="inlineStr">
        <is>
          <t>ラージ (単発)</t>
        </is>
      </c>
      <c r="B24" s="8">
        <f>G12</f>
        <v/>
      </c>
    </row>
    <row r="25">
      <c r="A25" s="7" t="inlineStr">
        <is>
          <t>Standard (サブスク)</t>
        </is>
      </c>
      <c r="B25" s="8">
        <f>H15</f>
        <v/>
      </c>
    </row>
    <row r="26">
      <c r="A26" s="7" t="inlineStr">
        <is>
          <t>初回 (単発)</t>
        </is>
      </c>
      <c r="B26" s="8">
        <f>G9</f>
        <v/>
      </c>
    </row>
    <row r="27">
      <c r="A27" s="7" t="inlineStr">
        <is>
          <t>Pro (サブスク)</t>
        </is>
      </c>
      <c r="B27" s="8">
        <f>H16</f>
        <v/>
      </c>
    </row>
    <row r="28">
      <c r="A28" s="7" t="inlineStr">
        <is>
          <t>Premium (サブスク)</t>
        </is>
      </c>
      <c r="B28" s="8">
        <f>H17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2025-11-09T07:48:14+00:00Z</dcterms:created>
  <dcterms:modified xmlns:dcterms="http://purl.org/dc/terms/" xmlns:xsi="http://www.w3.org/2001/XMLSchema-instance" xsi:type="dcterms:W3CDTF">2025-11-09T07:48:14+00:00Z</dcterms:modified>
</cp:coreProperties>
</file>